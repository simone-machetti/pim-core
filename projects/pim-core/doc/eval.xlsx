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<sst xmlns="http://schemas.openxmlformats.org/spreadsheetml/2006/main" count="55" uniqueCount="47">
  <si>
    <t xml:space="preserve">PE Array — top_NxN_nr4sd_6_st_bfp (8×8)</t>
  </si>
  <si>
    <t xml:space="preserve">PIM Array (8×8)</t>
  </si>
  <si>
    <t xml:space="preserve">Open-Source ASAP7 Predictive PDK</t>
  </si>
  <si>
    <t xml:space="preserve">Metric</t>
  </si>
  <si>
    <t xml:space="preserve">Result</t>
  </si>
  <si>
    <t xml:space="preserve">1 tree per PE</t>
  </si>
  <si>
    <t xml:space="preserve">1 tree for all</t>
  </si>
  <si>
    <t xml:space="preserve">No tree (lower bound)</t>
  </si>
  <si>
    <t xml:space="preserve">DP8</t>
  </si>
  <si>
    <t xml:space="preserve">A width</t>
  </si>
  <si>
    <t xml:space="preserve">Compression tree</t>
  </si>
  <si>
    <t xml:space="preserve">B width</t>
  </si>
  <si>
    <t xml:space="preserve">Accumulator</t>
  </si>
  <si>
    <t xml:space="preserve">Bitcell (6T)</t>
  </si>
  <si>
    <t xml:space="preserve">DISP A (+ exponent A)</t>
  </si>
  <si>
    <t xml:space="preserve">Column logic (per column)</t>
  </si>
  <si>
    <t xml:space="preserve">DISP B (+ exponent B)</t>
  </si>
  <si>
    <t xml:space="preserve">Word-line driver</t>
  </si>
  <si>
    <t xml:space="preserve">Frequency</t>
  </si>
  <si>
    <t xml:space="preserve">Popcount + accumulator (per block)</t>
  </si>
  <si>
    <t xml:space="preserve">Power 8×8</t>
  </si>
  <si>
    <t xml:space="preserve">Energy per row operation (per column)</t>
  </si>
  <si>
    <t xml:space="preserve">16 × DP8</t>
  </si>
  <si>
    <t xml:space="preserve">PE</t>
  </si>
  <si>
    <t xml:space="preserve">Rows per column</t>
  </si>
  <si>
    <t xml:space="preserve">8 × DISP A</t>
  </si>
  <si>
    <t xml:space="preserve">Cycles per operation</t>
  </si>
  <si>
    <t xml:space="preserve">8 × DISP B</t>
  </si>
  <si>
    <t xml:space="preserve">PIM array (per PE)</t>
  </si>
  <si>
    <t xml:space="preserve">8×8 array</t>
  </si>
  <si>
    <t xml:space="preserve">Trees (tree + accumulator)</t>
  </si>
  <si>
    <t xml:space="preserve">Performance per PE</t>
  </si>
  <si>
    <t xml:space="preserve">Dispatchers (8 × A + 8 × B)</t>
  </si>
  <si>
    <t xml:space="preserve">Performance 8×8</t>
  </si>
  <si>
    <t xml:space="preserve">Throughput per PE (MAC)</t>
  </si>
  <si>
    <t xml:space="preserve">Throughput per PE (OPS)</t>
  </si>
  <si>
    <t xml:space="preserve">Throughput 8×8</t>
  </si>
  <si>
    <t xml:space="preserve">Throughput 8×8 (MAC)</t>
  </si>
  <si>
    <t xml:space="preserve">PIM-PEs to match one PE</t>
  </si>
  <si>
    <t xml:space="preserve">Throughput 8×8 (OPS)</t>
  </si>
  <si>
    <t xml:space="preserve">Energy per MAC, PIM array</t>
  </si>
  <si>
    <t xml:space="preserve">Area efficiency</t>
  </si>
  <si>
    <t xml:space="preserve">Energy per MAC, rest of datapath (from PE Array)</t>
  </si>
  <si>
    <t xml:space="preserve">Energy efficiency</t>
  </si>
  <si>
    <t xml:space="preserve">Energy per MAC</t>
  </si>
  <si>
    <t xml:space="preserve">Area efficiency, PE / PIM</t>
  </si>
  <si>
    <t xml:space="preserve">Energy efficiency, PE / PIM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</si>
</sst>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.00&quot; µm²&quot;"/>
    <numFmt numFmtId="166" formatCode="0&quot; bit&quot;"/>
    <numFmt numFmtId="167" formatCode="0.0000&quot; µm²&quot;"/>
    <numFmt numFmtId="168" formatCode="0.0&quot; GHz&quot;"/>
    <numFmt numFmtId="169" formatCode="#,##0.0&quot; mW&quot;"/>
    <numFmt numFmtId="170" formatCode="0.00&quot; fJ&quot;"/>
    <numFmt numFmtId="171" formatCode="0"/>
    <numFmt numFmtId="172" formatCode="#,##0&quot; MAC/cycle&quot;"/>
    <numFmt numFmtId="173" formatCode="#,##0.0&quot; GMAC/s&quot;"/>
    <numFmt numFmtId="174" formatCode="#,##0.00&quot; MAC/cycle&quot;"/>
    <numFmt numFmtId="175" formatCode="#,##0.0&quot; GOPS&quot;"/>
    <numFmt numFmtId="176" formatCode="#,##0.000&quot; TOPS&quot;"/>
    <numFmt numFmtId="177" formatCode="#,##0.00&quot; TMAC/s&quot;"/>
    <numFmt numFmtId="178" formatCode="#,##0"/>
    <numFmt numFmtId="179" formatCode="#,##0.00&quot; TOPS&quot;"/>
    <numFmt numFmtId="180" formatCode="#,##0.0&quot; fJ&quot;"/>
    <numFmt numFmtId="181" formatCode="#,##0.0&quot; TOPS/mm²&quot;"/>
    <numFmt numFmtId="182" formatCode="#,##0.0&quot; TOPS/W&quot;"/>
    <numFmt numFmtId="183" formatCode="#,##0.00&quot; TOPS/mm²&quot;"/>
    <numFmt numFmtId="184" formatCode="0.0\×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serrat"/>
      <family val="0"/>
      <charset val="1"/>
    </font>
    <font>
      <sz val="9"/>
      <color rgb="FF000000"/>
      <name val="Monserrat"/>
      <family val="0"/>
      <charset val="1"/>
    </font>
    <font>
      <b val="true"/>
      <sz val="9"/>
      <color rgb="FF000000"/>
      <name val="Monserrat"/>
      <family val="0"/>
      <charset val="1"/>
    </font>
    <font>
      <b val="true"/>
      <sz val="9"/>
      <color rgb="FF8D281E"/>
      <name val="Monserrat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FFD7D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D2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2" activeCellId="0" sqref="E12"/>
    </sheetView>
  </sheetViews>
  <sheetFormatPr defaultColWidth="8.94140625" defaultRowHeight="15" zeroHeight="false" outlineLevelRow="0" outlineLevelCol="0"/>
  <cols>
    <col collapsed="false" customWidth="true" hidden="false" outlineLevel="0" max="1" min="1" style="1" width="3.6"/>
    <col collapsed="false" customWidth="true" hidden="false" outlineLevel="0" max="2" min="2" style="1" width="44.46"/>
    <col collapsed="false" customWidth="true" hidden="false" outlineLevel="0" max="3" min="3" style="1" width="35.96"/>
    <col collapsed="false" customWidth="true" hidden="false" outlineLevel="0" max="4" min="4" style="1" width="8.18"/>
    <col collapsed="false" customWidth="true" hidden="false" outlineLevel="0" max="5" min="5" style="1" width="44.46"/>
    <col collapsed="false" customWidth="true" hidden="false" outlineLevel="0" max="8" min="6" style="1" width="35.96"/>
  </cols>
  <sheetData>
    <row r="1" customFormat="false" ht="21.75" hidden="false" customHeight="true" outlineLevel="0" collapsed="false"/>
    <row r="2" customFormat="false" ht="28.5" hidden="false" customHeight="true" outlineLevel="0" collapsed="false">
      <c r="B2" s="2" t="s">
        <v>0</v>
      </c>
      <c r="C2" s="2"/>
      <c r="E2" s="2" t="s">
        <v>1</v>
      </c>
      <c r="F2" s="2"/>
      <c r="G2" s="2"/>
      <c r="H2" s="2"/>
    </row>
    <row r="3" customFormat="false" ht="36" hidden="false" customHeight="true" outlineLevel="0" collapsed="false">
      <c r="B3" s="3" t="s">
        <v>2</v>
      </c>
      <c r="C3" s="3"/>
      <c r="E3" s="3" t="s">
        <v>2</v>
      </c>
      <c r="F3" s="3"/>
      <c r="G3" s="3"/>
      <c r="H3" s="3"/>
    </row>
    <row r="4" customFormat="false" ht="32.25" hidden="false" customHeight="true" outlineLevel="0" collapsed="false">
      <c r="B4" s="4" t="s">
        <v>3</v>
      </c>
      <c r="C4" s="4" t="s">
        <v>4</v>
      </c>
      <c r="E4" s="4" t="s">
        <v>3</v>
      </c>
      <c r="F4" s="4" t="s">
        <v>5</v>
      </c>
      <c r="G4" s="4" t="s">
        <v>6</v>
      </c>
      <c r="H4" s="4" t="s">
        <v>7</v>
      </c>
    </row>
    <row r="5" customFormat="false" ht="21.75" hidden="false" customHeight="true" outlineLevel="0" collapsed="false">
      <c r="B5" s="5" t="s">
        <v>8</v>
      </c>
      <c r="C5" s="6" t="n">
        <v>165</v>
      </c>
      <c r="E5" s="5" t="s">
        <v>9</v>
      </c>
      <c r="F5" s="7" t="n">
        <v>8</v>
      </c>
      <c r="G5" s="7" t="n">
        <f aca="false">F5</f>
        <v>8</v>
      </c>
      <c r="H5" s="7" t="n">
        <f aca="false">F5</f>
        <v>8</v>
      </c>
    </row>
    <row r="6" customFormat="false" ht="21.75" hidden="false" customHeight="true" outlineLevel="0" collapsed="false">
      <c r="B6" s="5" t="s">
        <v>10</v>
      </c>
      <c r="C6" s="6" t="n">
        <v>1782</v>
      </c>
      <c r="E6" s="5" t="s">
        <v>11</v>
      </c>
      <c r="F6" s="7" t="n">
        <v>4</v>
      </c>
      <c r="G6" s="7" t="n">
        <f aca="false">F6</f>
        <v>4</v>
      </c>
      <c r="H6" s="7" t="n">
        <f aca="false">F6</f>
        <v>4</v>
      </c>
    </row>
    <row r="7" customFormat="false" ht="21.75" hidden="false" customHeight="true" outlineLevel="0" collapsed="false">
      <c r="B7" s="5" t="s">
        <v>12</v>
      </c>
      <c r="C7" s="6" t="n">
        <v>854</v>
      </c>
      <c r="E7" s="5" t="s">
        <v>13</v>
      </c>
      <c r="F7" s="8" t="n">
        <v>0.021</v>
      </c>
      <c r="G7" s="8" t="n">
        <f aca="false">F7</f>
        <v>0.021</v>
      </c>
      <c r="H7" s="8" t="n">
        <f aca="false">F7</f>
        <v>0.021</v>
      </c>
    </row>
    <row r="8" customFormat="false" ht="21.75" hidden="false" customHeight="true" outlineLevel="0" collapsed="false">
      <c r="B8" s="5" t="s">
        <v>14</v>
      </c>
      <c r="C8" s="6" t="n">
        <v>656.14</v>
      </c>
      <c r="E8" s="5" t="s">
        <v>15</v>
      </c>
      <c r="F8" s="9" t="n">
        <v>1.53</v>
      </c>
      <c r="G8" s="9" t="n">
        <f aca="false">F8</f>
        <v>1.53</v>
      </c>
      <c r="H8" s="9" t="n">
        <f aca="false">F8</f>
        <v>1.53</v>
      </c>
    </row>
    <row r="9" customFormat="false" ht="21.75" hidden="false" customHeight="true" outlineLevel="0" collapsed="false">
      <c r="B9" s="5" t="s">
        <v>16</v>
      </c>
      <c r="C9" s="6" t="n">
        <v>921.69</v>
      </c>
      <c r="E9" s="5" t="s">
        <v>17</v>
      </c>
      <c r="F9" s="9" t="n">
        <v>0.2</v>
      </c>
      <c r="G9" s="9" t="n">
        <f aca="false">F9</f>
        <v>0.2</v>
      </c>
      <c r="H9" s="9" t="n">
        <f aca="false">F9</f>
        <v>0.2</v>
      </c>
    </row>
    <row r="10" customFormat="false" ht="21.75" hidden="false" customHeight="true" outlineLevel="0" collapsed="false">
      <c r="B10" s="5" t="s">
        <v>18</v>
      </c>
      <c r="C10" s="10" t="n">
        <v>1.1</v>
      </c>
      <c r="E10" s="5" t="s">
        <v>19</v>
      </c>
      <c r="F10" s="6" t="n">
        <v>7.4</v>
      </c>
      <c r="G10" s="6" t="n">
        <f aca="false">F10</f>
        <v>7.4</v>
      </c>
      <c r="H10" s="6" t="n">
        <f aca="false">F10</f>
        <v>7.4</v>
      </c>
    </row>
    <row r="11" customFormat="false" ht="21.75" hidden="false" customHeight="true" outlineLevel="0" collapsed="false">
      <c r="B11" s="5" t="s">
        <v>20</v>
      </c>
      <c r="C11" s="11" t="n">
        <v>877.2</v>
      </c>
      <c r="E11" s="5" t="s">
        <v>21</v>
      </c>
      <c r="F11" s="12" t="n">
        <v>0.78</v>
      </c>
      <c r="G11" s="12" t="n">
        <f aca="false">F11</f>
        <v>0.78</v>
      </c>
      <c r="H11" s="12" t="n">
        <f aca="false">F11</f>
        <v>0.78</v>
      </c>
    </row>
    <row r="12" customFormat="false" ht="21.75" hidden="false" customHeight="true" outlineLevel="0" collapsed="false">
      <c r="B12" s="5" t="s">
        <v>22</v>
      </c>
      <c r="C12" s="6" t="n">
        <f aca="false">16*C5</f>
        <v>2640</v>
      </c>
      <c r="E12" s="5" t="s">
        <v>18</v>
      </c>
      <c r="F12" s="10" t="n">
        <f aca="false">$C$10</f>
        <v>1.1</v>
      </c>
      <c r="G12" s="10" t="n">
        <f aca="false">F12</f>
        <v>1.1</v>
      </c>
      <c r="H12" s="10" t="n">
        <f aca="false">F12</f>
        <v>1.1</v>
      </c>
    </row>
    <row r="13" customFormat="false" ht="21.75" hidden="false" customHeight="true" outlineLevel="0" collapsed="false">
      <c r="B13" s="5" t="s">
        <v>23</v>
      </c>
      <c r="C13" s="6" t="n">
        <f aca="false">C12+C6+C7</f>
        <v>5276</v>
      </c>
      <c r="E13" s="5" t="s">
        <v>24</v>
      </c>
      <c r="F13" s="13" t="n">
        <f aca="false">2*(F5+F6)</f>
        <v>24</v>
      </c>
      <c r="G13" s="13" t="n">
        <f aca="false">2*(G5+G6)</f>
        <v>24</v>
      </c>
      <c r="H13" s="13" t="n">
        <f aca="false">2*(H5+H6)</f>
        <v>24</v>
      </c>
    </row>
    <row r="14" customFormat="false" ht="21.75" hidden="false" customHeight="true" outlineLevel="0" collapsed="false">
      <c r="B14" s="5" t="s">
        <v>25</v>
      </c>
      <c r="C14" s="6" t="n">
        <f aca="false">8*C8</f>
        <v>5249.12</v>
      </c>
      <c r="E14" s="5" t="s">
        <v>26</v>
      </c>
      <c r="F14" s="13" t="n">
        <f aca="false">2*(F5+F6)+F6*(2*F5+1)</f>
        <v>92</v>
      </c>
      <c r="G14" s="13" t="n">
        <f aca="false">2*(G5+G6)+G6*(2*G5+1)</f>
        <v>92</v>
      </c>
      <c r="H14" s="13" t="n">
        <f aca="false">2*(H5+H6)+H6*(2*H5+1)</f>
        <v>92</v>
      </c>
    </row>
    <row r="15" customFormat="false" ht="21.75" hidden="false" customHeight="true" outlineLevel="0" collapsed="false">
      <c r="B15" s="5" t="s">
        <v>27</v>
      </c>
      <c r="C15" s="6" t="n">
        <f aca="false">8*C9</f>
        <v>7373.52</v>
      </c>
      <c r="E15" s="5" t="s">
        <v>28</v>
      </c>
      <c r="F15" s="6" t="n">
        <f aca="false">16*8*(F13*F7+F8)+16*F10+2*F13*F9</f>
        <v>388.352</v>
      </c>
      <c r="G15" s="6" t="n">
        <f aca="false">16*8*(G13*G7+G8)+16*G10+2*G13*G9</f>
        <v>388.352</v>
      </c>
      <c r="H15" s="6" t="n">
        <f aca="false">16*8*(H13*H7+H8)+16*H10+2*H13*H9</f>
        <v>388.352</v>
      </c>
    </row>
    <row r="16" customFormat="false" ht="21.75" hidden="false" customHeight="true" outlineLevel="0" collapsed="false">
      <c r="B16" s="5" t="s">
        <v>29</v>
      </c>
      <c r="C16" s="6" t="n">
        <f aca="false">64*C13+C14+C15</f>
        <v>350286.64</v>
      </c>
      <c r="E16" s="5" t="s">
        <v>30</v>
      </c>
      <c r="F16" s="6" t="n">
        <f aca="false">64*($C$6+$C$7)</f>
        <v>168704</v>
      </c>
      <c r="G16" s="6" t="n">
        <f aca="false">$C$6+$C$7</f>
        <v>2636</v>
      </c>
      <c r="H16" s="14"/>
    </row>
    <row r="17" customFormat="false" ht="21.75" hidden="false" customHeight="true" outlineLevel="0" collapsed="false">
      <c r="B17" s="5" t="s">
        <v>31</v>
      </c>
      <c r="C17" s="15" t="n">
        <f aca="false">16*8</f>
        <v>128</v>
      </c>
      <c r="E17" s="5" t="s">
        <v>32</v>
      </c>
      <c r="F17" s="6" t="n">
        <f aca="false">$C$14+$C$15</f>
        <v>12622.64</v>
      </c>
      <c r="G17" s="6" t="n">
        <f aca="false">($C$14+$C$15)/G14</f>
        <v>137.202608695652</v>
      </c>
      <c r="H17" s="6" t="n">
        <f aca="false">($C$14+$C$15)/H14</f>
        <v>137.202608695652</v>
      </c>
    </row>
    <row r="18" customFormat="false" ht="21.75" hidden="false" customHeight="true" outlineLevel="0" collapsed="false">
      <c r="B18" s="5" t="s">
        <v>33</v>
      </c>
      <c r="C18" s="15" t="n">
        <f aca="false">64*C17</f>
        <v>8192</v>
      </c>
      <c r="E18" s="5" t="s">
        <v>29</v>
      </c>
      <c r="F18" s="6" t="n">
        <f aca="false">64*F15+F16+F17</f>
        <v>206181.168</v>
      </c>
      <c r="G18" s="6" t="n">
        <f aca="false">64*G15+G16+G17</f>
        <v>27627.7306086956</v>
      </c>
      <c r="H18" s="6" t="n">
        <f aca="false">64*H15+H16+H17</f>
        <v>24991.7306086957</v>
      </c>
    </row>
    <row r="19" customFormat="false" ht="21.75" hidden="false" customHeight="true" outlineLevel="0" collapsed="false">
      <c r="B19" s="5" t="s">
        <v>34</v>
      </c>
      <c r="C19" s="16" t="n">
        <f aca="false">C17*C10</f>
        <v>140.8</v>
      </c>
      <c r="E19" s="5" t="s">
        <v>31</v>
      </c>
      <c r="F19" s="17" t="n">
        <f aca="false">16*8/F14</f>
        <v>1.39130434782609</v>
      </c>
      <c r="G19" s="17" t="n">
        <f aca="false">16*8/G14</f>
        <v>1.39130434782609</v>
      </c>
      <c r="H19" s="17" t="n">
        <f aca="false">16*8/H14</f>
        <v>1.39130434782609</v>
      </c>
    </row>
    <row r="20" customFormat="false" ht="21.75" hidden="false" customHeight="true" outlineLevel="0" collapsed="false">
      <c r="B20" s="5" t="s">
        <v>35</v>
      </c>
      <c r="C20" s="18" t="n">
        <f aca="false">2*C19</f>
        <v>281.6</v>
      </c>
      <c r="E20" s="5" t="s">
        <v>36</v>
      </c>
      <c r="F20" s="19" t="n">
        <f aca="false">2*64*F19*F12/1000</f>
        <v>0.195895652173913</v>
      </c>
      <c r="G20" s="19" t="n">
        <f aca="false">2*64*G19*G12/1000</f>
        <v>0.195895652173913</v>
      </c>
      <c r="H20" s="19" t="n">
        <f aca="false">2*64*H19*H12/1000</f>
        <v>0.195895652173913</v>
      </c>
    </row>
    <row r="21" customFormat="false" ht="21.75" hidden="false" customHeight="true" outlineLevel="0" collapsed="false">
      <c r="B21" s="5" t="s">
        <v>37</v>
      </c>
      <c r="C21" s="20" t="n">
        <f aca="false">C18*C10/1000</f>
        <v>9.0112</v>
      </c>
      <c r="E21" s="5" t="s">
        <v>38</v>
      </c>
      <c r="F21" s="21" t="n">
        <f aca="false">$C$17*$C$10/(F19*F12)</f>
        <v>92</v>
      </c>
      <c r="G21" s="21" t="n">
        <f aca="false">$C$17*$C$10/(G19*G12)</f>
        <v>92</v>
      </c>
      <c r="H21" s="21" t="n">
        <f aca="false">$C$17*$C$10/(H19*H12)</f>
        <v>92</v>
      </c>
    </row>
    <row r="22" customFormat="false" ht="21.75" hidden="false" customHeight="true" outlineLevel="0" collapsed="false">
      <c r="B22" s="5" t="s">
        <v>39</v>
      </c>
      <c r="C22" s="22" t="n">
        <f aca="false">2*C21</f>
        <v>18.0224</v>
      </c>
      <c r="E22" s="5" t="s">
        <v>40</v>
      </c>
      <c r="F22" s="23" t="n">
        <f aca="false">F14*F11</f>
        <v>71.76</v>
      </c>
      <c r="G22" s="23" t="n">
        <f aca="false">G14*G11</f>
        <v>71.76</v>
      </c>
      <c r="H22" s="23" t="n">
        <f aca="false">H14*H11</f>
        <v>71.76</v>
      </c>
    </row>
    <row r="23" customFormat="false" ht="21.75" hidden="false" customHeight="true" outlineLevel="0" collapsed="false">
      <c r="B23" s="24" t="s">
        <v>41</v>
      </c>
      <c r="C23" s="25" t="n">
        <f aca="false">C22/(C16/1000000)</f>
        <v>51.4504349923251</v>
      </c>
      <c r="E23" s="5" t="s">
        <v>42</v>
      </c>
      <c r="F23" s="23" t="n">
        <f aca="false">$C$25*(1-64*$C$12/$C$16)</f>
        <v>50.3911227396868</v>
      </c>
      <c r="G23" s="23" t="n">
        <f aca="false">$C$25*(1-64*$C$12/$C$16)</f>
        <v>50.3911227396868</v>
      </c>
      <c r="H23" s="23" t="n">
        <f aca="false">$C$25*($C$14+$C$15)/$C$16</f>
        <v>3.5078629457805</v>
      </c>
    </row>
    <row r="24" customFormat="false" ht="21.75" hidden="false" customHeight="true" outlineLevel="0" collapsed="false">
      <c r="B24" s="24" t="s">
        <v>43</v>
      </c>
      <c r="C24" s="26" t="n">
        <f aca="false">C22/(C11/1000)</f>
        <v>20.5453716370269</v>
      </c>
      <c r="E24" s="24" t="s">
        <v>41</v>
      </c>
      <c r="F24" s="27" t="n">
        <f aca="false">F20/(F18/1000000)</f>
        <v>0.950114183919615</v>
      </c>
      <c r="G24" s="27" t="n">
        <f aca="false">G20/(G18/1000000)</f>
        <v>7.0905444586989</v>
      </c>
      <c r="H24" s="27" t="n">
        <f aca="false">H20/(H18/1000000)</f>
        <v>7.83841884506201</v>
      </c>
    </row>
    <row r="25" customFormat="false" ht="21.75" hidden="false" customHeight="true" outlineLevel="0" collapsed="false">
      <c r="B25" s="24" t="s">
        <v>44</v>
      </c>
      <c r="C25" s="28" t="n">
        <f aca="false">C11/C21</f>
        <v>97.3455255681818</v>
      </c>
      <c r="E25" s="24" t="s">
        <v>43</v>
      </c>
      <c r="F25" s="26" t="n">
        <f aca="false">2000/F26</f>
        <v>16.3731610086151</v>
      </c>
      <c r="G25" s="26" t="n">
        <f aca="false">2000/G26</f>
        <v>16.3731610086151</v>
      </c>
      <c r="H25" s="26" t="n">
        <f aca="false">2000/H26</f>
        <v>26.5717654484319</v>
      </c>
    </row>
    <row r="26" customFormat="false" ht="21.75" hidden="false" customHeight="true" outlineLevel="0" collapsed="false">
      <c r="E26" s="24" t="s">
        <v>44</v>
      </c>
      <c r="F26" s="28" t="n">
        <f aca="false">F22+F23</f>
        <v>122.151122739687</v>
      </c>
      <c r="G26" s="28" t="n">
        <f aca="false">G22+G23</f>
        <v>122.151122739687</v>
      </c>
      <c r="H26" s="28" t="n">
        <f aca="false">H22+H23</f>
        <v>75.2678629457805</v>
      </c>
    </row>
    <row r="27" customFormat="false" ht="21.75" hidden="false" customHeight="true" outlineLevel="0" collapsed="false">
      <c r="E27" s="29" t="s">
        <v>45</v>
      </c>
      <c r="F27" s="30" t="n">
        <f aca="false">$C$23/F24</f>
        <v>54.1518439184549</v>
      </c>
      <c r="G27" s="30" t="n">
        <f aca="false">$C$23/G24</f>
        <v>7.2562037079119</v>
      </c>
      <c r="H27" s="30" t="n">
        <f aca="false">$C$23/H24</f>
        <v>6.56387927327174</v>
      </c>
    </row>
    <row r="28" customFormat="false" ht="21.75" hidden="false" customHeight="true" outlineLevel="0" collapsed="false">
      <c r="E28" s="29" t="s">
        <v>46</v>
      </c>
      <c r="F28" s="30" t="n">
        <f aca="false">$C$24/F25</f>
        <v>1.25482010628348</v>
      </c>
      <c r="G28" s="30" t="n">
        <f aca="false">$C$24/G25</f>
        <v>1.25482010628348</v>
      </c>
      <c r="H28" s="30" t="n">
        <f aca="false">$C$24/H25</f>
        <v>0.773203108272933</v>
      </c>
    </row>
    <row r="29" customFormat="false" ht="15" hidden="false" customHeight="true" outlineLevel="0" collapsed="false">
      <c r="E29" s="31"/>
      <c r="F29" s="31"/>
      <c r="G29" s="31"/>
      <c r="H29" s="31"/>
    </row>
    <row r="30" customFormat="false" ht="15" hidden="false" customHeight="true" outlineLevel="0" collapsed="false">
      <c r="E30" s="31"/>
      <c r="F30" s="31"/>
      <c r="G30" s="31"/>
      <c r="H30" s="31"/>
    </row>
    <row r="31" customFormat="false" ht="15" hidden="false" customHeight="true" outlineLevel="0" collapsed="false">
      <c r="E31" s="31"/>
      <c r="F31" s="31"/>
      <c r="G31" s="31"/>
      <c r="H31" s="31"/>
    </row>
    <row r="32" customFormat="false" ht="15" hidden="false" customHeight="true" outlineLevel="0" collapsed="false">
      <c r="E32" s="31"/>
      <c r="F32" s="31"/>
      <c r="G32" s="31"/>
      <c r="H32" s="31"/>
    </row>
    <row r="33" customFormat="false" ht="15" hidden="false" customHeight="true" outlineLevel="0" collapsed="false">
      <c r="E33" s="31"/>
      <c r="F33" s="31"/>
      <c r="G33" s="31"/>
      <c r="H33" s="31"/>
    </row>
    <row r="34" customFormat="false" ht="15" hidden="false" customHeight="true" outlineLevel="0" collapsed="false">
      <c r="E34" s="31"/>
      <c r="F34" s="31"/>
      <c r="G34" s="31"/>
      <c r="H34" s="31"/>
    </row>
    <row r="35" customFormat="false" ht="15" hidden="false" customHeight="true" outlineLevel="0" collapsed="false">
      <c r="E35" s="31"/>
      <c r="F35" s="31"/>
      <c r="G35" s="31"/>
      <c r="H35" s="31"/>
    </row>
    <row r="36" customFormat="false" ht="15" hidden="false" customHeight="true" outlineLevel="0" collapsed="false">
      <c r="E36" s="31"/>
      <c r="F36" s="31"/>
      <c r="G36" s="31"/>
      <c r="H36" s="31"/>
    </row>
    <row r="37" customFormat="false" ht="15" hidden="false" customHeight="true" outlineLevel="0" collapsed="false">
      <c r="E37" s="31"/>
      <c r="F37" s="31"/>
      <c r="G37" s="31"/>
      <c r="H37" s="31"/>
    </row>
    <row r="38" customFormat="false" ht="15" hidden="false" customHeight="true" outlineLevel="0" collapsed="false">
      <c r="E38" s="31"/>
      <c r="F38" s="31"/>
      <c r="G38" s="31"/>
      <c r="H38" s="31"/>
    </row>
    <row r="39" customFormat="false" ht="15" hidden="false" customHeight="true" outlineLevel="0" collapsed="false">
      <c r="E39" s="31"/>
      <c r="F39" s="31"/>
      <c r="G39" s="31"/>
      <c r="H39" s="31"/>
    </row>
    <row r="40" customFormat="false" ht="15" hidden="false" customHeight="true" outlineLevel="0" collapsed="false">
      <c r="E40" s="31"/>
      <c r="F40" s="31"/>
      <c r="G40" s="31"/>
      <c r="H40" s="31"/>
    </row>
    <row r="41" customFormat="false" ht="15" hidden="false" customHeight="true" outlineLevel="0" collapsed="false">
      <c r="E41" s="31"/>
      <c r="F41" s="31"/>
      <c r="G41" s="31"/>
      <c r="H41" s="31"/>
    </row>
    <row r="42" customFormat="false" ht="15" hidden="false" customHeight="true" outlineLevel="0" collapsed="false">
      <c r="E42" s="31"/>
      <c r="F42" s="31"/>
      <c r="G42" s="31"/>
      <c r="H42" s="31"/>
    </row>
    <row r="43" customFormat="false" ht="15" hidden="false" customHeight="true" outlineLevel="0" collapsed="false">
      <c r="E43" s="31"/>
      <c r="F43" s="31"/>
      <c r="G43" s="31"/>
      <c r="H43" s="31"/>
    </row>
    <row r="44" customFormat="false" ht="15" hidden="false" customHeight="true" outlineLevel="0" collapsed="false">
      <c r="E44" s="31"/>
      <c r="F44" s="31"/>
      <c r="G44" s="31"/>
      <c r="H44" s="31"/>
    </row>
    <row r="45" customFormat="false" ht="15" hidden="false" customHeight="true" outlineLevel="0" collapsed="false">
      <c r="E45" s="31"/>
      <c r="F45" s="31"/>
      <c r="G45" s="31"/>
      <c r="H45" s="31"/>
    </row>
    <row r="46" customFormat="false" ht="15" hidden="false" customHeight="true" outlineLevel="0" collapsed="false">
      <c r="E46" s="31"/>
      <c r="F46" s="31"/>
      <c r="G46" s="31"/>
      <c r="H46" s="31"/>
    </row>
    <row r="47" customFormat="false" ht="15" hidden="false" customHeight="true" outlineLevel="0" collapsed="false">
      <c r="E47" s="31"/>
      <c r="F47" s="31"/>
      <c r="G47" s="31"/>
      <c r="H47" s="31"/>
    </row>
    <row r="48" customFormat="false" ht="15" hidden="false" customHeight="true" outlineLevel="0" collapsed="false">
      <c r="E48" s="31"/>
      <c r="F48" s="31"/>
      <c r="G48" s="31"/>
      <c r="H48" s="31"/>
    </row>
    <row r="49" customFormat="false" ht="15" hidden="false" customHeight="true" outlineLevel="0" collapsed="false">
      <c r="E49" s="31"/>
      <c r="F49" s="31"/>
      <c r="G49" s="31"/>
      <c r="H49" s="31"/>
    </row>
    <row r="50" customFormat="false" ht="15" hidden="false" customHeight="true" outlineLevel="0" collapsed="false">
      <c r="E50" s="31"/>
      <c r="F50" s="31"/>
      <c r="G50" s="31"/>
      <c r="H50" s="31"/>
    </row>
    <row r="51" customFormat="false" ht="15" hidden="false" customHeight="true" outlineLevel="0" collapsed="false">
      <c r="E51" s="31"/>
      <c r="F51" s="31"/>
      <c r="G51" s="31"/>
      <c r="H51" s="31"/>
    </row>
    <row r="52" customFormat="false" ht="15" hidden="false" customHeight="true" outlineLevel="0" collapsed="false">
      <c r="E52" s="31"/>
      <c r="F52" s="31"/>
      <c r="G52" s="31"/>
      <c r="H52" s="31"/>
    </row>
    <row r="53" customFormat="false" ht="15" hidden="false" customHeight="true" outlineLevel="0" collapsed="false">
      <c r="E53" s="31"/>
      <c r="F53" s="31"/>
      <c r="G53" s="31"/>
      <c r="H53" s="31"/>
    </row>
    <row r="54" customFormat="false" ht="15" hidden="false" customHeight="true" outlineLevel="0" collapsed="false">
      <c r="E54" s="31"/>
      <c r="F54" s="31"/>
      <c r="G54" s="31"/>
      <c r="H54" s="31"/>
    </row>
    <row r="55" customFormat="false" ht="15" hidden="false" customHeight="true" outlineLevel="0" collapsed="false">
      <c r="E55" s="31"/>
      <c r="F55" s="31"/>
      <c r="G55" s="31"/>
      <c r="H55" s="31"/>
    </row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">
    <mergeCell ref="B2:C2"/>
    <mergeCell ref="E2:H2"/>
    <mergeCell ref="B3:C3"/>
    <mergeCell ref="E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2026-10-30T11:32:11Z</dcterms:created>
  <dc:creator>openpyxl</dc:creator>
  <dc:description/>
  <dc:language>en-US</dc:language>
  <cp:lastModifiedBy/>
  <dcterms:modified xsi:type="dcterms:W3CDTF">2026-10-30T17:00:39Z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